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參數設定" sheetId="1" state="visible" r:id="rId1"/>
    <sheet xmlns:r="http://schemas.openxmlformats.org/officeDocument/2006/relationships" name="② 逐日明細（MU）" sheetId="2" state="visible" r:id="rId2"/>
    <sheet xmlns:r="http://schemas.openxmlformats.org/officeDocument/2006/relationships" name="③ 五支彙總" sheetId="3" state="visible" r:id="rId3"/>
    <sheet xmlns:r="http://schemas.openxmlformats.org/officeDocument/2006/relationships" name="④ 成本敏感度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00"/>
    <numFmt numFmtId="166" formatCode="0.0%"/>
  </numFmts>
  <fonts count="16">
    <font>
      <name val="Calibri"/>
      <family val="2"/>
      <color theme="1"/>
      <sz val="11"/>
      <scheme val="minor"/>
    </font>
    <font>
      <b val="1"/>
      <color rgb="FFB23A2E"/>
      <sz val="15"/>
    </font>
    <font>
      <color rgb="FF544E45"/>
      <sz val="10"/>
    </font>
    <font>
      <b val="1"/>
      <color rgb="FFFAF7F1"/>
      <sz val="10"/>
    </font>
    <font>
      <b val="1"/>
      <sz val="11"/>
    </font>
    <font>
      <i val="1"/>
      <color rgb="FFB23A2E"/>
      <sz val="9"/>
    </font>
    <font>
      <b val="1"/>
      <color rgb="FFB23A2E"/>
      <sz val="13"/>
    </font>
    <font>
      <color rgb="FF544E45"/>
      <sz val="9"/>
    </font>
    <font>
      <b val="1"/>
      <color rgb="FFB23A2E"/>
      <sz val="11"/>
    </font>
    <font>
      <sz val="9"/>
    </font>
    <font>
      <b val="1"/>
      <color rgb="FFB23A2E"/>
      <sz val="10"/>
    </font>
    <font>
      <b val="1"/>
    </font>
    <font>
      <color rgb="FF3C6B4F"/>
    </font>
    <font>
      <b val="1"/>
      <color rgb="FF3C6B4F"/>
    </font>
    <font>
      <b val="1"/>
      <color rgb="FFB23A2E"/>
    </font>
    <font>
      <color rgb="FFB23A2E"/>
    </font>
  </fonts>
  <fills count="7">
    <fill>
      <patternFill/>
    </fill>
    <fill>
      <patternFill patternType="gray125"/>
    </fill>
    <fill>
      <patternFill patternType="solid">
        <fgColor rgb="FF1C1A17"/>
      </patternFill>
    </fill>
    <fill>
      <patternFill patternType="solid">
        <fgColor rgb="FFFFF3B0"/>
      </patternFill>
    </fill>
    <fill>
      <patternFill patternType="solid">
        <fgColor rgb="FFEFEFEF"/>
      </patternFill>
    </fill>
    <fill>
      <patternFill patternType="solid">
        <fgColor rgb="FFE1EEDF"/>
      </patternFill>
    </fill>
    <fill>
      <patternFill patternType="solid">
        <fgColor rgb="FFF5DCD8"/>
      </patternFill>
    </fill>
  </fills>
  <borders count="2">
    <border>
      <left/>
      <right/>
      <top/>
      <bottom/>
      <diagonal/>
    </border>
    <border>
      <left style="thin">
        <color rgb="FFD8D0C2"/>
      </left>
      <right style="thin">
        <color rgb="FFD8D0C2"/>
      </right>
      <top style="thin">
        <color rgb="FFD8D0C2"/>
      </top>
      <bottom style="thin">
        <color rgb="FFD8D0C2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0" fontId="0" fillId="0" borderId="0" pivotButton="0" quotePrefix="0" xfId="0"/>
    <xf numFmtId="0" fontId="11" fillId="0" borderId="1" pivotButton="0" quotePrefix="0" xfId="0"/>
    <xf numFmtId="10" fontId="12" fillId="0" borderId="1" pivotButton="0" quotePrefix="0" xfId="0"/>
    <xf numFmtId="10" fontId="13" fillId="0" borderId="1" pivotButton="0" quotePrefix="0" xfId="0"/>
    <xf numFmtId="10" fontId="14" fillId="0" borderId="1" pivotButton="0" quotePrefix="0" xfId="0"/>
    <xf numFmtId="10" fontId="15" fillId="0" borderId="1" pivotButton="0" quotePrefix="0" xfId="0"/>
    <xf numFmtId="0" fontId="8" fillId="0" borderId="0" pivotButton="0" quotePrefix="0" xfId="0"/>
    <xf numFmtId="0" fontId="3" fillId="2" borderId="0" pivotButton="0" quotePrefix="0" xfId="0"/>
    <xf numFmtId="0" fontId="11" fillId="0" borderId="0" pivotButton="0" quotePrefix="0" xfId="0"/>
    <xf numFmtId="166" fontId="13" fillId="5" borderId="1" pivotButton="0" quotePrefix="0" xfId="0"/>
    <xf numFmtId="166" fontId="1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52" customWidth="1" min="3" max="3"/>
  </cols>
  <sheetData>
    <row r="1">
      <c r="A1" s="1" t="inlineStr">
        <is>
          <t>隔夜策略手續費試算 · 參數設定</t>
        </is>
      </c>
    </row>
    <row r="2">
      <c r="A2" s="2" t="inlineStr">
        <is>
          <t>改下面黃色格子的數字，其他分頁會自動重算。</t>
        </is>
      </c>
    </row>
    <row r="4">
      <c r="A4" s="3" t="inlineStr">
        <is>
          <t>參數</t>
        </is>
      </c>
      <c r="B4" s="3" t="inlineStr">
        <is>
          <t>數值</t>
        </is>
      </c>
      <c r="C4" s="3" t="inlineStr">
        <is>
          <t>說明</t>
        </is>
      </c>
    </row>
    <row r="5">
      <c r="A5" s="4" t="inlineStr">
        <is>
          <t>來回交易成本（bps，萬分之一）</t>
        </is>
      </c>
      <c r="B5" s="5" t="n">
        <v>30</v>
      </c>
      <c r="C5" s="4" t="inlineStr">
        <is>
          <t>散戶合理區間 10–30。含手續費＋買賣價差＋滑價</t>
        </is>
      </c>
    </row>
    <row r="6">
      <c r="A6" s="4" t="inlineStr">
        <is>
          <t>每年交易日數</t>
        </is>
      </c>
      <c r="B6" s="5" t="n">
        <v>252</v>
      </c>
      <c r="C6" s="4" t="inlineStr">
        <is>
          <t>用來把期間報酬年化</t>
        </is>
      </c>
    </row>
    <row r="7">
      <c r="A7" s="4" t="inlineStr">
        <is>
          <t>起始本金（美元）</t>
        </is>
      </c>
      <c r="B7" s="5" t="n">
        <v>10000</v>
      </c>
      <c r="C7" s="4" t="inlineStr">
        <is>
          <t>只影響金額欄，不影響報酬率</t>
        </is>
      </c>
    </row>
    <row r="9">
      <c r="A9" s="6" t="inlineStr">
        <is>
          <t>※ B5 是「一趟來回」的總成本。每天進出一次＝每天付一次這個成本。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2" customWidth="1" min="5" max="5"/>
    <col width="17" customWidth="1" min="6" max="6"/>
    <col width="17" customWidth="1" min="7" max="7"/>
    <col width="17" customWidth="1" min="8" max="8"/>
    <col width="15" customWidth="1" min="9" max="9"/>
  </cols>
  <sheetData>
    <row r="1">
      <c r="A1" s="7" t="inlineStr">
        <is>
          <t>MU 逐日計算明細 · 看得到每一天的手續費怎麼吃掉報酬</t>
        </is>
      </c>
    </row>
    <row r="2">
      <c r="A2" s="8" t="inlineStr">
        <is>
          <t>灰色欄＝原始股價（Yahoo Finance）；其他欄都是公式，可點進去看怎麼算的。</t>
        </is>
      </c>
    </row>
    <row r="4">
      <c r="A4" s="3" t="inlineStr">
        <is>
          <t>日期</t>
        </is>
      </c>
      <c r="B4" s="3" t="inlineStr">
        <is>
          <t>前日收盤</t>
        </is>
      </c>
      <c r="C4" s="3" t="inlineStr">
        <is>
          <t>今日開盤</t>
        </is>
      </c>
      <c r="D4" s="3" t="inlineStr">
        <is>
          <t>今日收盤</t>
        </is>
      </c>
      <c r="E4" s="3" t="inlineStr">
        <is>
          <t>隔夜報酬</t>
        </is>
      </c>
      <c r="F4" s="3" t="inlineStr">
        <is>
          <t>扣成本後隔夜報酬</t>
        </is>
      </c>
      <c r="G4" s="3" t="inlineStr">
        <is>
          <t>隔夜累積(無成本)</t>
        </is>
      </c>
      <c r="H4" s="3" t="inlineStr">
        <is>
          <t>隔夜累積(扣成本)</t>
        </is>
      </c>
      <c r="I4" s="3" t="inlineStr">
        <is>
          <t>買著不動累積</t>
        </is>
      </c>
    </row>
    <row r="5">
      <c r="A5" t="inlineStr">
        <is>
          <t>2026-05-19</t>
        </is>
      </c>
      <c r="B5" s="9" t="n">
        <v>681.54</v>
      </c>
      <c r="C5" s="9" t="n">
        <v>665.58</v>
      </c>
      <c r="D5" s="9" t="n">
        <v>698.74</v>
      </c>
      <c r="E5" s="10">
        <f>C5/B5-1</f>
        <v/>
      </c>
      <c r="F5" s="10">
        <f>E5-'① 參數設定'!$B$5/10000</f>
        <v/>
      </c>
      <c r="G5" s="11">
        <f>1+E5</f>
        <v/>
      </c>
      <c r="H5" s="11">
        <f>1+F5</f>
        <v/>
      </c>
      <c r="I5" s="11">
        <f>D5/B5</f>
        <v/>
      </c>
    </row>
    <row r="6">
      <c r="A6" t="inlineStr">
        <is>
          <t>2026-05-20</t>
        </is>
      </c>
      <c r="B6" s="9" t="n">
        <v>698.74</v>
      </c>
      <c r="C6" s="9" t="n">
        <v>734.96</v>
      </c>
      <c r="D6" s="9" t="n">
        <v>731.99</v>
      </c>
      <c r="E6" s="10">
        <f>C6/B6-1</f>
        <v/>
      </c>
      <c r="F6" s="10">
        <f>E6-'① 參數設定'!$B$5/10000</f>
        <v/>
      </c>
      <c r="G6" s="11">
        <f>G5*(1+E6)</f>
        <v/>
      </c>
      <c r="H6" s="11">
        <f>H5*(1+F6)</f>
        <v/>
      </c>
      <c r="I6" s="11">
        <f>I5*(D6/B6)</f>
        <v/>
      </c>
    </row>
    <row r="7">
      <c r="A7" t="inlineStr">
        <is>
          <t>2026-05-21</t>
        </is>
      </c>
      <c r="B7" s="9" t="n">
        <v>731.99</v>
      </c>
      <c r="C7" s="9" t="n">
        <v>736.36</v>
      </c>
      <c r="D7" s="9" t="n">
        <v>762.1</v>
      </c>
      <c r="E7" s="10">
        <f>C7/B7-1</f>
        <v/>
      </c>
      <c r="F7" s="10">
        <f>E7-'① 參數設定'!$B$5/10000</f>
        <v/>
      </c>
      <c r="G7" s="11">
        <f>G6*(1+E7)</f>
        <v/>
      </c>
      <c r="H7" s="11">
        <f>H6*(1+F7)</f>
        <v/>
      </c>
      <c r="I7" s="11">
        <f>I6*(D7/B7)</f>
        <v/>
      </c>
    </row>
    <row r="8">
      <c r="A8" t="inlineStr">
        <is>
          <t>2026-05-22</t>
        </is>
      </c>
      <c r="B8" s="9" t="n">
        <v>762.1</v>
      </c>
      <c r="C8" s="9" t="n">
        <v>756.8200000000001</v>
      </c>
      <c r="D8" s="9" t="n">
        <v>751</v>
      </c>
      <c r="E8" s="10">
        <f>C8/B8-1</f>
        <v/>
      </c>
      <c r="F8" s="10">
        <f>E8-'① 參數設定'!$B$5/10000</f>
        <v/>
      </c>
      <c r="G8" s="11">
        <f>G7*(1+E8)</f>
        <v/>
      </c>
      <c r="H8" s="11">
        <f>H7*(1+F8)</f>
        <v/>
      </c>
      <c r="I8" s="11">
        <f>I7*(D8/B8)</f>
        <v/>
      </c>
    </row>
    <row r="9">
      <c r="A9" t="inlineStr">
        <is>
          <t>2026-05-26</t>
        </is>
      </c>
      <c r="B9" s="9" t="n">
        <v>751</v>
      </c>
      <c r="C9" s="9" t="n">
        <v>820.5</v>
      </c>
      <c r="D9" s="9" t="n">
        <v>895.88</v>
      </c>
      <c r="E9" s="10">
        <f>C9/B9-1</f>
        <v/>
      </c>
      <c r="F9" s="10">
        <f>E9-'① 參數設定'!$B$5/10000</f>
        <v/>
      </c>
      <c r="G9" s="11">
        <f>G8*(1+E9)</f>
        <v/>
      </c>
      <c r="H9" s="11">
        <f>H8*(1+F9)</f>
        <v/>
      </c>
      <c r="I9" s="11">
        <f>I8*(D9/B9)</f>
        <v/>
      </c>
    </row>
    <row r="10">
      <c r="A10" t="inlineStr">
        <is>
          <t>2026-05-27</t>
        </is>
      </c>
      <c r="B10" s="9" t="n">
        <v>895.88</v>
      </c>
      <c r="C10" s="9" t="n">
        <v>955.66</v>
      </c>
      <c r="D10" s="9" t="n">
        <v>928.41</v>
      </c>
      <c r="E10" s="10">
        <f>C10/B10-1</f>
        <v/>
      </c>
      <c r="F10" s="10">
        <f>E10-'① 參數設定'!$B$5/10000</f>
        <v/>
      </c>
      <c r="G10" s="11">
        <f>G9*(1+E10)</f>
        <v/>
      </c>
      <c r="H10" s="11">
        <f>H9*(1+F10)</f>
        <v/>
      </c>
      <c r="I10" s="11">
        <f>I9*(D10/B10)</f>
        <v/>
      </c>
    </row>
    <row r="11">
      <c r="A11" t="inlineStr">
        <is>
          <t>2026-05-28</t>
        </is>
      </c>
      <c r="B11" s="9" t="n">
        <v>928.41</v>
      </c>
      <c r="C11" s="9" t="n">
        <v>929.83</v>
      </c>
      <c r="D11" s="9" t="n">
        <v>923.52</v>
      </c>
      <c r="E11" s="10">
        <f>C11/B11-1</f>
        <v/>
      </c>
      <c r="F11" s="10">
        <f>E11-'① 參數設定'!$B$5/10000</f>
        <v/>
      </c>
      <c r="G11" s="11">
        <f>G10*(1+E11)</f>
        <v/>
      </c>
      <c r="H11" s="11">
        <f>H10*(1+F11)</f>
        <v/>
      </c>
      <c r="I11" s="11">
        <f>I10*(D11/B11)</f>
        <v/>
      </c>
    </row>
    <row r="12">
      <c r="A12" t="inlineStr">
        <is>
          <t>2026-05-29</t>
        </is>
      </c>
      <c r="B12" s="9" t="n">
        <v>923.52</v>
      </c>
      <c r="C12" s="9" t="n">
        <v>957</v>
      </c>
      <c r="D12" s="9" t="n">
        <v>971</v>
      </c>
      <c r="E12" s="10">
        <f>C12/B12-1</f>
        <v/>
      </c>
      <c r="F12" s="10">
        <f>E12-'① 參數設定'!$B$5/10000</f>
        <v/>
      </c>
      <c r="G12" s="11">
        <f>G11*(1+E12)</f>
        <v/>
      </c>
      <c r="H12" s="11">
        <f>H11*(1+F12)</f>
        <v/>
      </c>
      <c r="I12" s="11">
        <f>I11*(D12/B12)</f>
        <v/>
      </c>
    </row>
    <row r="13">
      <c r="A13" t="inlineStr">
        <is>
          <t>2026-06-01</t>
        </is>
      </c>
      <c r="B13" s="9" t="n">
        <v>971</v>
      </c>
      <c r="C13" s="9" t="n">
        <v>1009.72</v>
      </c>
      <c r="D13" s="9" t="n">
        <v>1035.5</v>
      </c>
      <c r="E13" s="10">
        <f>C13/B13-1</f>
        <v/>
      </c>
      <c r="F13" s="10">
        <f>E13-'① 參數設定'!$B$5/10000</f>
        <v/>
      </c>
      <c r="G13" s="11">
        <f>G12*(1+E13)</f>
        <v/>
      </c>
      <c r="H13" s="11">
        <f>H12*(1+F13)</f>
        <v/>
      </c>
      <c r="I13" s="11">
        <f>I12*(D13/B13)</f>
        <v/>
      </c>
    </row>
    <row r="14">
      <c r="A14" t="inlineStr">
        <is>
          <t>2026-06-02</t>
        </is>
      </c>
      <c r="B14" s="9" t="n">
        <v>1035.5</v>
      </c>
      <c r="C14" s="9" t="n">
        <v>1050</v>
      </c>
      <c r="D14" s="9" t="n">
        <v>1064.1</v>
      </c>
      <c r="E14" s="10">
        <f>C14/B14-1</f>
        <v/>
      </c>
      <c r="F14" s="10">
        <f>E14-'① 參數設定'!$B$5/10000</f>
        <v/>
      </c>
      <c r="G14" s="11">
        <f>G13*(1+E14)</f>
        <v/>
      </c>
      <c r="H14" s="11">
        <f>H13*(1+F14)</f>
        <v/>
      </c>
      <c r="I14" s="11">
        <f>I13*(D14/B14)</f>
        <v/>
      </c>
    </row>
    <row r="15">
      <c r="A15" t="inlineStr">
        <is>
          <t>2026-06-03</t>
        </is>
      </c>
      <c r="B15" s="9" t="n">
        <v>1064.1</v>
      </c>
      <c r="C15" s="9" t="n">
        <v>1079.01</v>
      </c>
      <c r="D15" s="9" t="n">
        <v>1079.5699</v>
      </c>
      <c r="E15" s="10">
        <f>C15/B15-1</f>
        <v/>
      </c>
      <c r="F15" s="10">
        <f>E15-'① 參數設定'!$B$5/10000</f>
        <v/>
      </c>
      <c r="G15" s="11">
        <f>G14*(1+E15)</f>
        <v/>
      </c>
      <c r="H15" s="11">
        <f>H14*(1+F15)</f>
        <v/>
      </c>
      <c r="I15" s="11">
        <f>I14*(D15/B15)</f>
        <v/>
      </c>
    </row>
    <row r="16">
      <c r="A16" t="inlineStr">
        <is>
          <t>2026-06-04</t>
        </is>
      </c>
      <c r="B16" s="9" t="n">
        <v>1079.5699</v>
      </c>
      <c r="C16" s="9" t="n">
        <v>1007.1</v>
      </c>
      <c r="D16" s="9" t="n">
        <v>996</v>
      </c>
      <c r="E16" s="10">
        <f>C16/B16-1</f>
        <v/>
      </c>
      <c r="F16" s="10">
        <f>E16-'① 參數設定'!$B$5/10000</f>
        <v/>
      </c>
      <c r="G16" s="11">
        <f>G15*(1+E16)</f>
        <v/>
      </c>
      <c r="H16" s="11">
        <f>H15*(1+F16)</f>
        <v/>
      </c>
      <c r="I16" s="11">
        <f>I15*(D16/B16)</f>
        <v/>
      </c>
    </row>
    <row r="17">
      <c r="A17" t="inlineStr">
        <is>
          <t>2026-06-05</t>
        </is>
      </c>
      <c r="B17" s="9" t="n">
        <v>996</v>
      </c>
      <c r="C17" s="9" t="n">
        <v>944.4</v>
      </c>
      <c r="D17" s="9" t="n">
        <v>864.01</v>
      </c>
      <c r="E17" s="10">
        <f>C17/B17-1</f>
        <v/>
      </c>
      <c r="F17" s="10">
        <f>E17-'① 參數設定'!$B$5/10000</f>
        <v/>
      </c>
      <c r="G17" s="11">
        <f>G16*(1+E17)</f>
        <v/>
      </c>
      <c r="H17" s="11">
        <f>H16*(1+F17)</f>
        <v/>
      </c>
      <c r="I17" s="11">
        <f>I16*(D17/B17)</f>
        <v/>
      </c>
    </row>
    <row r="18">
      <c r="A18" t="inlineStr">
        <is>
          <t>2026-06-08</t>
        </is>
      </c>
      <c r="B18" s="9" t="n">
        <v>864.01</v>
      </c>
      <c r="C18" s="9" t="n">
        <v>938.27</v>
      </c>
      <c r="D18" s="9" t="n">
        <v>949.28</v>
      </c>
      <c r="E18" s="10">
        <f>C18/B18-1</f>
        <v/>
      </c>
      <c r="F18" s="10">
        <f>E18-'① 參數設定'!$B$5/10000</f>
        <v/>
      </c>
      <c r="G18" s="11">
        <f>G17*(1+E18)</f>
        <v/>
      </c>
      <c r="H18" s="11">
        <f>H17*(1+F18)</f>
        <v/>
      </c>
      <c r="I18" s="11">
        <f>I17*(D18/B18)</f>
        <v/>
      </c>
    </row>
    <row r="19">
      <c r="A19" t="inlineStr">
        <is>
          <t>2026-06-09</t>
        </is>
      </c>
      <c r="B19" s="9" t="n">
        <v>949.28</v>
      </c>
      <c r="C19" s="9" t="n">
        <v>988.1799999999999</v>
      </c>
      <c r="D19" s="9" t="n">
        <v>935.89</v>
      </c>
      <c r="E19" s="10">
        <f>C19/B19-1</f>
        <v/>
      </c>
      <c r="F19" s="10">
        <f>E19-'① 參數設定'!$B$5/10000</f>
        <v/>
      </c>
      <c r="G19" s="11">
        <f>G18*(1+E19)</f>
        <v/>
      </c>
      <c r="H19" s="11">
        <f>H18*(1+F19)</f>
        <v/>
      </c>
      <c r="I19" s="11">
        <f>I18*(D19/B19)</f>
        <v/>
      </c>
    </row>
    <row r="20">
      <c r="A20" t="inlineStr">
        <is>
          <t>2026-06-10</t>
        </is>
      </c>
      <c r="B20" s="9" t="n">
        <v>935.89</v>
      </c>
      <c r="C20" s="9" t="n">
        <v>905.13</v>
      </c>
      <c r="D20" s="9" t="n">
        <v>891.88</v>
      </c>
      <c r="E20" s="10">
        <f>C20/B20-1</f>
        <v/>
      </c>
      <c r="F20" s="10">
        <f>E20-'① 參數設定'!$B$5/10000</f>
        <v/>
      </c>
      <c r="G20" s="11">
        <f>G19*(1+E20)</f>
        <v/>
      </c>
      <c r="H20" s="11">
        <f>H19*(1+F20)</f>
        <v/>
      </c>
      <c r="I20" s="11">
        <f>I19*(D20/B20)</f>
        <v/>
      </c>
    </row>
    <row r="21">
      <c r="A21" t="inlineStr">
        <is>
          <t>2026-06-11</t>
        </is>
      </c>
      <c r="B21" s="9" t="n">
        <v>891.88</v>
      </c>
      <c r="C21" s="9" t="n">
        <v>904.37</v>
      </c>
      <c r="D21" s="9" t="n">
        <v>995.87</v>
      </c>
      <c r="E21" s="10">
        <f>C21/B21-1</f>
        <v/>
      </c>
      <c r="F21" s="10">
        <f>E21-'① 參數設定'!$B$5/10000</f>
        <v/>
      </c>
      <c r="G21" s="11">
        <f>G20*(1+E21)</f>
        <v/>
      </c>
      <c r="H21" s="11">
        <f>H20*(1+F21)</f>
        <v/>
      </c>
      <c r="I21" s="11">
        <f>I20*(D21/B21)</f>
        <v/>
      </c>
    </row>
    <row r="22">
      <c r="A22" t="inlineStr">
        <is>
          <t>2026-06-12</t>
        </is>
      </c>
      <c r="B22" s="9" t="n">
        <v>995.87</v>
      </c>
      <c r="C22" s="9" t="n">
        <v>971.8099999999999</v>
      </c>
      <c r="D22" s="9" t="n">
        <v>981.61</v>
      </c>
      <c r="E22" s="10">
        <f>C22/B22-1</f>
        <v/>
      </c>
      <c r="F22" s="10">
        <f>E22-'① 參數設定'!$B$5/10000</f>
        <v/>
      </c>
      <c r="G22" s="11">
        <f>G21*(1+E22)</f>
        <v/>
      </c>
      <c r="H22" s="11">
        <f>H21*(1+F22)</f>
        <v/>
      </c>
      <c r="I22" s="11">
        <f>I21*(D22/B22)</f>
        <v/>
      </c>
    </row>
    <row r="23">
      <c r="A23" t="inlineStr">
        <is>
          <t>2026-06-15</t>
        </is>
      </c>
      <c r="B23" s="9" t="n">
        <v>981.61</v>
      </c>
      <c r="C23" s="9" t="n">
        <v>1055.89</v>
      </c>
      <c r="D23" s="9" t="n">
        <v>1087.99</v>
      </c>
      <c r="E23" s="10">
        <f>C23/B23-1</f>
        <v/>
      </c>
      <c r="F23" s="10">
        <f>E23-'① 參數設定'!$B$5/10000</f>
        <v/>
      </c>
      <c r="G23" s="11">
        <f>G22*(1+E23)</f>
        <v/>
      </c>
      <c r="H23" s="11">
        <f>H22*(1+F23)</f>
        <v/>
      </c>
      <c r="I23" s="11">
        <f>I22*(D23/B23)</f>
        <v/>
      </c>
    </row>
    <row r="24">
      <c r="A24" t="inlineStr">
        <is>
          <t>2026-06-16</t>
        </is>
      </c>
      <c r="B24" s="9" t="n">
        <v>1087.99</v>
      </c>
      <c r="C24" s="9" t="n">
        <v>1099.7</v>
      </c>
      <c r="D24" s="9" t="n">
        <v>1020.76</v>
      </c>
      <c r="E24" s="10">
        <f>C24/B24-1</f>
        <v/>
      </c>
      <c r="F24" s="10">
        <f>E24-'① 參數設定'!$B$5/10000</f>
        <v/>
      </c>
      <c r="G24" s="11">
        <f>G23*(1+E24)</f>
        <v/>
      </c>
      <c r="H24" s="11">
        <f>H23*(1+F24)</f>
        <v/>
      </c>
      <c r="I24" s="11">
        <f>I23*(D24/B24)</f>
        <v/>
      </c>
    </row>
    <row r="25">
      <c r="A25" t="inlineStr">
        <is>
          <t>2026-06-17</t>
        </is>
      </c>
      <c r="B25" s="9" t="n">
        <v>1020.76</v>
      </c>
      <c r="C25" s="9" t="n">
        <v>1061.3</v>
      </c>
      <c r="D25" s="9" t="n">
        <v>1043.1899</v>
      </c>
      <c r="E25" s="10">
        <f>C25/B25-1</f>
        <v/>
      </c>
      <c r="F25" s="10">
        <f>E25-'① 參數設定'!$B$5/10000</f>
        <v/>
      </c>
      <c r="G25" s="11">
        <f>G24*(1+E25)</f>
        <v/>
      </c>
      <c r="H25" s="11">
        <f>H24*(1+F25)</f>
        <v/>
      </c>
      <c r="I25" s="11">
        <f>I24*(D25/B25)</f>
        <v/>
      </c>
    </row>
    <row r="26">
      <c r="A26" t="inlineStr">
        <is>
          <t>2026-06-18</t>
        </is>
      </c>
      <c r="B26" s="9" t="n">
        <v>1043.1899</v>
      </c>
      <c r="C26" s="9" t="n">
        <v>1108.0699</v>
      </c>
      <c r="D26" s="9" t="n">
        <v>1133.99</v>
      </c>
      <c r="E26" s="10">
        <f>C26/B26-1</f>
        <v/>
      </c>
      <c r="F26" s="10">
        <f>E26-'① 參數設定'!$B$5/10000</f>
        <v/>
      </c>
      <c r="G26" s="11">
        <f>G25*(1+E26)</f>
        <v/>
      </c>
      <c r="H26" s="11">
        <f>H25*(1+F26)</f>
        <v/>
      </c>
      <c r="I26" s="11">
        <f>I25*(D26/B26)</f>
        <v/>
      </c>
    </row>
    <row r="27">
      <c r="A27" t="inlineStr">
        <is>
          <t>2026-06-22</t>
        </is>
      </c>
      <c r="B27" s="9" t="n">
        <v>1133.99</v>
      </c>
      <c r="C27" s="9" t="n">
        <v>1196.22</v>
      </c>
      <c r="D27" s="9" t="n">
        <v>1211.38</v>
      </c>
      <c r="E27" s="10">
        <f>C27/B27-1</f>
        <v/>
      </c>
      <c r="F27" s="10">
        <f>E27-'① 參數設定'!$B$5/10000</f>
        <v/>
      </c>
      <c r="G27" s="11">
        <f>G26*(1+E27)</f>
        <v/>
      </c>
      <c r="H27" s="11">
        <f>H26*(1+F27)</f>
        <v/>
      </c>
      <c r="I27" s="11">
        <f>I26*(D27/B27)</f>
        <v/>
      </c>
    </row>
    <row r="28">
      <c r="A28" t="inlineStr">
        <is>
          <t>2026-06-23</t>
        </is>
      </c>
      <c r="B28" s="9" t="n">
        <v>1211.38</v>
      </c>
      <c r="C28" s="9" t="n">
        <v>1080</v>
      </c>
      <c r="D28" s="9" t="n">
        <v>1051.77</v>
      </c>
      <c r="E28" s="10">
        <f>C28/B28-1</f>
        <v/>
      </c>
      <c r="F28" s="10">
        <f>E28-'① 參數設定'!$B$5/10000</f>
        <v/>
      </c>
      <c r="G28" s="11">
        <f>G27*(1+E28)</f>
        <v/>
      </c>
      <c r="H28" s="11">
        <f>H27*(1+F28)</f>
        <v/>
      </c>
      <c r="I28" s="11">
        <f>I27*(D28/B28)</f>
        <v/>
      </c>
    </row>
    <row r="29">
      <c r="A29" t="inlineStr">
        <is>
          <t>2026-06-24</t>
        </is>
      </c>
      <c r="B29" s="9" t="n">
        <v>1051.77</v>
      </c>
      <c r="C29" s="9" t="n">
        <v>1082.22</v>
      </c>
      <c r="D29" s="9" t="n">
        <v>1048.51</v>
      </c>
      <c r="E29" s="10">
        <f>C29/B29-1</f>
        <v/>
      </c>
      <c r="F29" s="10">
        <f>E29-'① 參數設定'!$B$5/10000</f>
        <v/>
      </c>
      <c r="G29" s="11">
        <f>G28*(1+E29)</f>
        <v/>
      </c>
      <c r="H29" s="11">
        <f>H28*(1+F29)</f>
        <v/>
      </c>
      <c r="I29" s="11">
        <f>I28*(D29/B29)</f>
        <v/>
      </c>
    </row>
    <row r="30">
      <c r="A30" t="inlineStr">
        <is>
          <t>2026-06-25</t>
        </is>
      </c>
      <c r="B30" s="9" t="n">
        <v>1048.51</v>
      </c>
      <c r="C30" s="9" t="n">
        <v>1233</v>
      </c>
      <c r="D30" s="9" t="n">
        <v>1213.5601</v>
      </c>
      <c r="E30" s="10">
        <f>C30/B30-1</f>
        <v/>
      </c>
      <c r="F30" s="10">
        <f>E30-'① 參數設定'!$B$5/10000</f>
        <v/>
      </c>
      <c r="G30" s="11">
        <f>G29*(1+E30)</f>
        <v/>
      </c>
      <c r="H30" s="11">
        <f>H29*(1+F30)</f>
        <v/>
      </c>
      <c r="I30" s="11">
        <f>I29*(D30/B30)</f>
        <v/>
      </c>
    </row>
    <row r="31">
      <c r="A31" t="inlineStr">
        <is>
          <t>2026-06-26</t>
        </is>
      </c>
      <c r="B31" s="9" t="n">
        <v>1213.5601</v>
      </c>
      <c r="C31" s="9" t="n">
        <v>1139.08</v>
      </c>
      <c r="D31" s="9" t="n">
        <v>1132.33</v>
      </c>
      <c r="E31" s="10">
        <f>C31/B31-1</f>
        <v/>
      </c>
      <c r="F31" s="10">
        <f>E31-'① 參數設定'!$B$5/10000</f>
        <v/>
      </c>
      <c r="G31" s="11">
        <f>G30*(1+E31)</f>
        <v/>
      </c>
      <c r="H31" s="11">
        <f>H30*(1+F31)</f>
        <v/>
      </c>
      <c r="I31" s="11">
        <f>I30*(D31/B31)</f>
        <v/>
      </c>
    </row>
    <row r="32">
      <c r="A32" t="inlineStr">
        <is>
          <t>2026-06-29</t>
        </is>
      </c>
      <c r="B32" s="9" t="n">
        <v>1132.33</v>
      </c>
      <c r="C32" s="9" t="n">
        <v>1128.7</v>
      </c>
      <c r="D32" s="9" t="n">
        <v>1145.28</v>
      </c>
      <c r="E32" s="10">
        <f>C32/B32-1</f>
        <v/>
      </c>
      <c r="F32" s="10">
        <f>E32-'① 參數設定'!$B$5/10000</f>
        <v/>
      </c>
      <c r="G32" s="11">
        <f>G31*(1+E32)</f>
        <v/>
      </c>
      <c r="H32" s="11">
        <f>H31*(1+F32)</f>
        <v/>
      </c>
      <c r="I32" s="11">
        <f>I31*(D32/B32)</f>
        <v/>
      </c>
    </row>
    <row r="33">
      <c r="A33" t="inlineStr">
        <is>
          <t>2026-06-30</t>
        </is>
      </c>
      <c r="B33" s="9" t="n">
        <v>1145.28</v>
      </c>
      <c r="C33" s="9" t="n">
        <v>1144.73</v>
      </c>
      <c r="D33" s="9" t="n">
        <v>1154.29</v>
      </c>
      <c r="E33" s="10">
        <f>C33/B33-1</f>
        <v/>
      </c>
      <c r="F33" s="10">
        <f>E33-'① 參數設定'!$B$5/10000</f>
        <v/>
      </c>
      <c r="G33" s="11">
        <f>G32*(1+E33)</f>
        <v/>
      </c>
      <c r="H33" s="11">
        <f>H32*(1+F33)</f>
        <v/>
      </c>
      <c r="I33" s="11">
        <f>I32*(D33/B33)</f>
        <v/>
      </c>
    </row>
    <row r="34">
      <c r="A34" t="inlineStr">
        <is>
          <t>2026-07-01</t>
        </is>
      </c>
      <c r="B34" s="9" t="n">
        <v>1154.29</v>
      </c>
      <c r="C34" s="9" t="n">
        <v>1082.01</v>
      </c>
      <c r="D34" s="9" t="n">
        <v>1032.28</v>
      </c>
      <c r="E34" s="10">
        <f>C34/B34-1</f>
        <v/>
      </c>
      <c r="F34" s="10">
        <f>E34-'① 參數設定'!$B$5/10000</f>
        <v/>
      </c>
      <c r="G34" s="11">
        <f>G33*(1+E34)</f>
        <v/>
      </c>
      <c r="H34" s="11">
        <f>H33*(1+F34)</f>
        <v/>
      </c>
      <c r="I34" s="11">
        <f>I33*(D34/B34)</f>
        <v/>
      </c>
    </row>
    <row r="35">
      <c r="A35" t="inlineStr">
        <is>
          <t>2026-07-02</t>
        </is>
      </c>
      <c r="B35" s="9" t="n">
        <v>1032.28</v>
      </c>
      <c r="C35" s="9" t="n">
        <v>1041.5</v>
      </c>
      <c r="D35" s="9" t="n">
        <v>975.5599999999999</v>
      </c>
      <c r="E35" s="10">
        <f>C35/B35-1</f>
        <v/>
      </c>
      <c r="F35" s="10">
        <f>E35-'① 參數設定'!$B$5/10000</f>
        <v/>
      </c>
      <c r="G35" s="11">
        <f>G34*(1+E35)</f>
        <v/>
      </c>
      <c r="H35" s="11">
        <f>H34*(1+F35)</f>
        <v/>
      </c>
      <c r="I35" s="11">
        <f>I34*(D35/B35)</f>
        <v/>
      </c>
    </row>
    <row r="36">
      <c r="A36" t="inlineStr">
        <is>
          <t>2026-07-06</t>
        </is>
      </c>
      <c r="B36" s="9" t="n">
        <v>975.5599999999999</v>
      </c>
      <c r="C36" s="9" t="n">
        <v>1007</v>
      </c>
      <c r="D36" s="9" t="n">
        <v>984.75</v>
      </c>
      <c r="E36" s="10">
        <f>C36/B36-1</f>
        <v/>
      </c>
      <c r="F36" s="10">
        <f>E36-'① 參數設定'!$B$5/10000</f>
        <v/>
      </c>
      <c r="G36" s="11">
        <f>G35*(1+E36)</f>
        <v/>
      </c>
      <c r="H36" s="11">
        <f>H35*(1+F36)</f>
        <v/>
      </c>
      <c r="I36" s="11">
        <f>I35*(D36/B36)</f>
        <v/>
      </c>
    </row>
    <row r="37">
      <c r="A37" t="inlineStr">
        <is>
          <t>2026-07-07</t>
        </is>
      </c>
      <c r="B37" s="9" t="n">
        <v>984.75</v>
      </c>
      <c r="C37" s="9" t="n">
        <v>923.01</v>
      </c>
      <c r="D37" s="9" t="n">
        <v>938.38</v>
      </c>
      <c r="E37" s="10">
        <f>C37/B37-1</f>
        <v/>
      </c>
      <c r="F37" s="10">
        <f>E37-'① 參數設定'!$B$5/10000</f>
        <v/>
      </c>
      <c r="G37" s="11">
        <f>G36*(1+E37)</f>
        <v/>
      </c>
      <c r="H37" s="11">
        <f>H36*(1+F37)</f>
        <v/>
      </c>
      <c r="I37" s="11">
        <f>I36*(D37/B37)</f>
        <v/>
      </c>
    </row>
    <row r="38">
      <c r="A38" t="inlineStr">
        <is>
          <t>2026-07-08</t>
        </is>
      </c>
      <c r="B38" s="9" t="n">
        <v>938.38</v>
      </c>
      <c r="C38" s="9" t="n">
        <v>902.64</v>
      </c>
      <c r="D38" s="9" t="n">
        <v>948.8</v>
      </c>
      <c r="E38" s="10">
        <f>C38/B38-1</f>
        <v/>
      </c>
      <c r="F38" s="10">
        <f>E38-'① 參數設定'!$B$5/10000</f>
        <v/>
      </c>
      <c r="G38" s="11">
        <f>G37*(1+E38)</f>
        <v/>
      </c>
      <c r="H38" s="11">
        <f>H37*(1+F38)</f>
        <v/>
      </c>
      <c r="I38" s="11">
        <f>I37*(D38/B38)</f>
        <v/>
      </c>
    </row>
    <row r="39">
      <c r="A39" t="inlineStr">
        <is>
          <t>2026-07-09</t>
        </is>
      </c>
      <c r="B39" s="9" t="n">
        <v>948.8</v>
      </c>
      <c r="C39" s="9" t="n">
        <v>1016.51</v>
      </c>
      <c r="D39" s="9" t="n">
        <v>991.64</v>
      </c>
      <c r="E39" s="10">
        <f>C39/B39-1</f>
        <v/>
      </c>
      <c r="F39" s="10">
        <f>E39-'① 參數設定'!$B$5/10000</f>
        <v/>
      </c>
      <c r="G39" s="11">
        <f>G38*(1+E39)</f>
        <v/>
      </c>
      <c r="H39" s="11">
        <f>H38*(1+F39)</f>
        <v/>
      </c>
      <c r="I39" s="11">
        <f>I38*(D39/B39)</f>
        <v/>
      </c>
    </row>
    <row r="40">
      <c r="A40" t="inlineStr">
        <is>
          <t>2026-07-10</t>
        </is>
      </c>
      <c r="B40" s="9" t="n">
        <v>991.64</v>
      </c>
      <c r="C40" s="9" t="n">
        <v>964.98</v>
      </c>
      <c r="D40" s="9" t="n">
        <v>979.3</v>
      </c>
      <c r="E40" s="10">
        <f>C40/B40-1</f>
        <v/>
      </c>
      <c r="F40" s="10">
        <f>E40-'① 參數設定'!$B$5/10000</f>
        <v/>
      </c>
      <c r="G40" s="11">
        <f>G39*(1+E40)</f>
        <v/>
      </c>
      <c r="H40" s="11">
        <f>H39*(1+F40)</f>
        <v/>
      </c>
      <c r="I40" s="11">
        <f>I39*(D40/B40)</f>
        <v/>
      </c>
    </row>
    <row r="41">
      <c r="A41" t="inlineStr">
        <is>
          <t>2026-07-13</t>
        </is>
      </c>
      <c r="B41" s="9" t="n">
        <v>979.3</v>
      </c>
      <c r="C41" s="9" t="n">
        <v>929</v>
      </c>
      <c r="D41" s="9" t="n">
        <v>937</v>
      </c>
      <c r="E41" s="10">
        <f>C41/B41-1</f>
        <v/>
      </c>
      <c r="F41" s="10">
        <f>E41-'① 參數設定'!$B$5/10000</f>
        <v/>
      </c>
      <c r="G41" s="11">
        <f>G40*(1+E41)</f>
        <v/>
      </c>
      <c r="H41" s="11">
        <f>H40*(1+F41)</f>
        <v/>
      </c>
      <c r="I41" s="11">
        <f>I40*(D41/B41)</f>
        <v/>
      </c>
    </row>
    <row r="42">
      <c r="A42" t="inlineStr">
        <is>
          <t>2026-07-14</t>
        </is>
      </c>
      <c r="B42" s="9" t="n">
        <v>937</v>
      </c>
      <c r="C42" s="9" t="n">
        <v>988.38</v>
      </c>
      <c r="D42" s="9" t="n">
        <v>983.12</v>
      </c>
      <c r="E42" s="10">
        <f>C42/B42-1</f>
        <v/>
      </c>
      <c r="F42" s="10">
        <f>E42-'① 參數設定'!$B$5/10000</f>
        <v/>
      </c>
      <c r="G42" s="11">
        <f>G41*(1+E42)</f>
        <v/>
      </c>
      <c r="H42" s="11">
        <f>H41*(1+F42)</f>
        <v/>
      </c>
      <c r="I42" s="11">
        <f>I41*(D42/B42)</f>
        <v/>
      </c>
    </row>
    <row r="43">
      <c r="A43" t="inlineStr">
        <is>
          <t>2026-07-15</t>
        </is>
      </c>
      <c r="B43" s="9" t="n">
        <v>983.12</v>
      </c>
      <c r="C43" s="9" t="n">
        <v>975.8099999999999</v>
      </c>
      <c r="D43" s="9" t="n">
        <v>904.28</v>
      </c>
      <c r="E43" s="10">
        <f>C43/B43-1</f>
        <v/>
      </c>
      <c r="F43" s="10">
        <f>E43-'① 參數設定'!$B$5/10000</f>
        <v/>
      </c>
      <c r="G43" s="11">
        <f>G42*(1+E43)</f>
        <v/>
      </c>
      <c r="H43" s="11">
        <f>H42*(1+F43)</f>
        <v/>
      </c>
      <c r="I43" s="11">
        <f>I42*(D43/B43)</f>
        <v/>
      </c>
    </row>
    <row r="44">
      <c r="A44" t="inlineStr">
        <is>
          <t>2026-07-16</t>
        </is>
      </c>
      <c r="B44" s="9" t="n">
        <v>904.28</v>
      </c>
      <c r="C44" s="9" t="n">
        <v>866.77</v>
      </c>
      <c r="D44" s="9" t="n">
        <v>853.2</v>
      </c>
      <c r="E44" s="10">
        <f>C44/B44-1</f>
        <v/>
      </c>
      <c r="F44" s="10">
        <f>E44-'① 參數設定'!$B$5/10000</f>
        <v/>
      </c>
      <c r="G44" s="11">
        <f>G43*(1+E44)</f>
        <v/>
      </c>
      <c r="H44" s="11">
        <f>H43*(1+F44)</f>
        <v/>
      </c>
      <c r="I44" s="11">
        <f>I43*(D44/B44)</f>
        <v/>
      </c>
    </row>
    <row r="45">
      <c r="A45" t="inlineStr">
        <is>
          <t>2026-07-17</t>
        </is>
      </c>
      <c r="B45" s="9" t="n">
        <v>853.2</v>
      </c>
      <c r="C45" s="9" t="n">
        <v>822.53</v>
      </c>
      <c r="D45" s="9" t="n">
        <v>848.95</v>
      </c>
      <c r="E45" s="10">
        <f>C45/B45-1</f>
        <v/>
      </c>
      <c r="F45" s="10">
        <f>E45-'① 參數設定'!$B$5/10000</f>
        <v/>
      </c>
      <c r="G45" s="11">
        <f>G44*(1+E45)</f>
        <v/>
      </c>
      <c r="H45" s="11">
        <f>H44*(1+F45)</f>
        <v/>
      </c>
      <c r="I45" s="11">
        <f>I44*(D45/B45)</f>
        <v/>
      </c>
    </row>
    <row r="46">
      <c r="A46" t="inlineStr">
        <is>
          <t>2026-07-20</t>
        </is>
      </c>
      <c r="B46" s="9" t="n">
        <v>848.95</v>
      </c>
      <c r="C46" s="9" t="n">
        <v>885.5700000000001</v>
      </c>
      <c r="D46" s="9" t="n">
        <v>865.46</v>
      </c>
      <c r="E46" s="10">
        <f>C46/B46-1</f>
        <v/>
      </c>
      <c r="F46" s="10">
        <f>E46-'① 參數設定'!$B$5/10000</f>
        <v/>
      </c>
      <c r="G46" s="11">
        <f>G45*(1+E46)</f>
        <v/>
      </c>
      <c r="H46" s="11">
        <f>H45*(1+F46)</f>
        <v/>
      </c>
      <c r="I46" s="11">
        <f>I45*(D46/B46)</f>
        <v/>
      </c>
    </row>
    <row r="47">
      <c r="A47" t="inlineStr">
        <is>
          <t>2026-07-21</t>
        </is>
      </c>
      <c r="B47" s="9" t="n">
        <v>865.46</v>
      </c>
      <c r="C47" s="9" t="n">
        <v>925.35</v>
      </c>
      <c r="D47" s="9" t="n">
        <v>970.8200000000001</v>
      </c>
      <c r="E47" s="10">
        <f>C47/B47-1</f>
        <v/>
      </c>
      <c r="F47" s="10">
        <f>E47-'① 參數設定'!$B$5/10000</f>
        <v/>
      </c>
      <c r="G47" s="11">
        <f>G46*(1+E47)</f>
        <v/>
      </c>
      <c r="H47" s="11">
        <f>H46*(1+F47)</f>
        <v/>
      </c>
      <c r="I47" s="11">
        <f>I46*(D47/B47)</f>
        <v/>
      </c>
    </row>
    <row r="48">
      <c r="A48" t="inlineStr">
        <is>
          <t>2026-07-22</t>
        </is>
      </c>
      <c r="B48" s="9" t="n">
        <v>970.8200000000001</v>
      </c>
      <c r="C48" s="9" t="n">
        <v>938.25</v>
      </c>
      <c r="D48" s="9" t="n">
        <v>959.48</v>
      </c>
      <c r="E48" s="10">
        <f>C48/B48-1</f>
        <v/>
      </c>
      <c r="F48" s="10">
        <f>E48-'① 參數設定'!$B$5/10000</f>
        <v/>
      </c>
      <c r="G48" s="11">
        <f>G47*(1+E48)</f>
        <v/>
      </c>
      <c r="H48" s="11">
        <f>H47*(1+F48)</f>
        <v/>
      </c>
      <c r="I48" s="11">
        <f>I47*(D48/B48)</f>
        <v/>
      </c>
    </row>
    <row r="49">
      <c r="A49" t="inlineStr">
        <is>
          <t>2026-07-23</t>
        </is>
      </c>
      <c r="B49" s="9" t="n">
        <v>959.48</v>
      </c>
      <c r="C49" s="9" t="n">
        <v>975.13</v>
      </c>
      <c r="D49" s="9" t="n">
        <v>990.21</v>
      </c>
      <c r="E49" s="10">
        <f>C49/B49-1</f>
        <v/>
      </c>
      <c r="F49" s="10">
        <f>E49-'① 參數設定'!$B$5/10000</f>
        <v/>
      </c>
      <c r="G49" s="11">
        <f>G48*(1+E49)</f>
        <v/>
      </c>
      <c r="H49" s="11">
        <f>H48*(1+F49)</f>
        <v/>
      </c>
      <c r="I49" s="11">
        <f>I48*(D49/B49)</f>
        <v/>
      </c>
    </row>
    <row r="50">
      <c r="A50" t="inlineStr">
        <is>
          <t>2026-07-24</t>
        </is>
      </c>
      <c r="B50" s="9" t="n">
        <v>990.21</v>
      </c>
      <c r="C50" s="9" t="n">
        <v>959.03</v>
      </c>
      <c r="D50" s="9" t="n">
        <v>920.95</v>
      </c>
      <c r="E50" s="10">
        <f>C50/B50-1</f>
        <v/>
      </c>
      <c r="F50" s="10">
        <f>E50-'① 參數設定'!$B$5/10000</f>
        <v/>
      </c>
      <c r="G50" s="11">
        <f>G49*(1+E50)</f>
        <v/>
      </c>
      <c r="H50" s="11">
        <f>H49*(1+F50)</f>
        <v/>
      </c>
      <c r="I50" s="11">
        <f>I49*(D50/B50)</f>
        <v/>
      </c>
    </row>
    <row r="51">
      <c r="A51" t="inlineStr">
        <is>
          <t>2026-07-27</t>
        </is>
      </c>
      <c r="B51" s="9" t="n">
        <v>920.95</v>
      </c>
      <c r="C51" s="9" t="n">
        <v>932.45</v>
      </c>
      <c r="D51" s="9" t="n">
        <v>900.2</v>
      </c>
      <c r="E51" s="10">
        <f>C51/B51-1</f>
        <v/>
      </c>
      <c r="F51" s="10">
        <f>E51-'① 參數設定'!$B$5/10000</f>
        <v/>
      </c>
      <c r="G51" s="11">
        <f>G50*(1+E51)</f>
        <v/>
      </c>
      <c r="H51" s="11">
        <f>H50*(1+F51)</f>
        <v/>
      </c>
      <c r="I51" s="11">
        <f>I50*(D51/B51)</f>
        <v/>
      </c>
    </row>
    <row r="52">
      <c r="A52" t="inlineStr">
        <is>
          <t>2026-07-28</t>
        </is>
      </c>
      <c r="B52" s="9" t="n">
        <v>900.2</v>
      </c>
      <c r="C52" s="9" t="n">
        <v>839.61</v>
      </c>
      <c r="D52" s="9" t="n">
        <v>820.53</v>
      </c>
      <c r="E52" s="10">
        <f>C52/B52-1</f>
        <v/>
      </c>
      <c r="F52" s="10">
        <f>E52-'① 參數設定'!$B$5/10000</f>
        <v/>
      </c>
      <c r="G52" s="11">
        <f>G51*(1+E52)</f>
        <v/>
      </c>
      <c r="H52" s="11">
        <f>H51*(1+F52)</f>
        <v/>
      </c>
      <c r="I52" s="11">
        <f>I51*(D52/B52)</f>
        <v/>
      </c>
    </row>
    <row r="53">
      <c r="A53" t="inlineStr">
        <is>
          <t>2026-07-29</t>
        </is>
      </c>
      <c r="B53" s="9" t="n">
        <v>820.53</v>
      </c>
      <c r="C53" s="9" t="n">
        <v>833</v>
      </c>
      <c r="D53" s="9" t="n">
        <v>739</v>
      </c>
      <c r="E53" s="10">
        <f>C53/B53-1</f>
        <v/>
      </c>
      <c r="F53" s="10">
        <f>E53-'① 參數設定'!$B$5/10000</f>
        <v/>
      </c>
      <c r="G53" s="11">
        <f>G52*(1+E53)</f>
        <v/>
      </c>
      <c r="H53" s="11">
        <f>H52*(1+F53)</f>
        <v/>
      </c>
      <c r="I53" s="11">
        <f>I52*(D53/B53)</f>
        <v/>
      </c>
    </row>
    <row r="54">
      <c r="A54" t="inlineStr">
        <is>
          <t>2026-07-30</t>
        </is>
      </c>
      <c r="B54" s="9" t="n">
        <v>739</v>
      </c>
      <c r="C54" s="9" t="n">
        <v>793.14</v>
      </c>
      <c r="D54" s="9" t="n">
        <v>874.66</v>
      </c>
      <c r="E54" s="10">
        <f>C54/B54-1</f>
        <v/>
      </c>
      <c r="F54" s="10">
        <f>E54-'① 參數設定'!$B$5/10000</f>
        <v/>
      </c>
      <c r="G54" s="11">
        <f>G53*(1+E54)</f>
        <v/>
      </c>
      <c r="H54" s="11">
        <f>H53*(1+F54)</f>
        <v/>
      </c>
      <c r="I54" s="11">
        <f>I53*(D54/B54)</f>
        <v/>
      </c>
    </row>
    <row r="55">
      <c r="A55" t="inlineStr">
        <is>
          <t>2026-07-31</t>
        </is>
      </c>
      <c r="B55" s="9" t="n">
        <v>874.66</v>
      </c>
      <c r="C55" s="9" t="n">
        <v>919.65</v>
      </c>
      <c r="D55" s="9" t="n">
        <v>823.03</v>
      </c>
      <c r="E55" s="10">
        <f>C55/B55-1</f>
        <v/>
      </c>
      <c r="F55" s="10">
        <f>E55-'① 參數設定'!$B$5/10000</f>
        <v/>
      </c>
      <c r="G55" s="11">
        <f>G54*(1+E55)</f>
        <v/>
      </c>
      <c r="H55" s="11">
        <f>H54*(1+F55)</f>
        <v/>
      </c>
      <c r="I55" s="11">
        <f>I54*(D55/B55)</f>
        <v/>
      </c>
    </row>
    <row r="56">
      <c r="A56" t="inlineStr">
        <is>
          <t>2026-08-03</t>
        </is>
      </c>
      <c r="B56" s="9" t="n">
        <v>823.03</v>
      </c>
      <c r="C56" s="9" t="n">
        <v>786.36</v>
      </c>
      <c r="D56" s="9" t="n">
        <v>829.5</v>
      </c>
      <c r="E56" s="10">
        <f>C56/B56-1</f>
        <v/>
      </c>
      <c r="F56" s="10">
        <f>E56-'① 參數設定'!$B$5/10000</f>
        <v/>
      </c>
      <c r="G56" s="11">
        <f>G55*(1+E56)</f>
        <v/>
      </c>
      <c r="H56" s="11">
        <f>H55*(1+F56)</f>
        <v/>
      </c>
      <c r="I56" s="11">
        <f>I55*(D56/B56)</f>
        <v/>
      </c>
    </row>
    <row r="57">
      <c r="A57" t="inlineStr">
        <is>
          <t>2026-08-04</t>
        </is>
      </c>
      <c r="B57" s="9" t="n">
        <v>829.5</v>
      </c>
      <c r="C57" s="9" t="n">
        <v>866.8200000000001</v>
      </c>
      <c r="D57" s="9" t="n">
        <v>892.67</v>
      </c>
      <c r="E57" s="10">
        <f>C57/B57-1</f>
        <v/>
      </c>
      <c r="F57" s="10">
        <f>E57-'① 參數設定'!$B$5/10000</f>
        <v/>
      </c>
      <c r="G57" s="11">
        <f>G56*(1+E57)</f>
        <v/>
      </c>
      <c r="H57" s="11">
        <f>H56*(1+F57)</f>
        <v/>
      </c>
      <c r="I57" s="11">
        <f>I56*(D57/B57)</f>
        <v/>
      </c>
    </row>
    <row r="58">
      <c r="A58" t="inlineStr">
        <is>
          <t>2026-08-05</t>
        </is>
      </c>
      <c r="B58" s="9" t="n">
        <v>892.67</v>
      </c>
      <c r="C58" s="9" t="n">
        <v>885.3</v>
      </c>
      <c r="D58" s="9" t="n">
        <v>893.1900000000001</v>
      </c>
      <c r="E58" s="10">
        <f>C58/B58-1</f>
        <v/>
      </c>
      <c r="F58" s="10">
        <f>E58-'① 參數設定'!$B$5/10000</f>
        <v/>
      </c>
      <c r="G58" s="11">
        <f>G57*(1+E58)</f>
        <v/>
      </c>
      <c r="H58" s="11">
        <f>H57*(1+F58)</f>
        <v/>
      </c>
      <c r="I58" s="11">
        <f>I57*(D58/B58)</f>
        <v/>
      </c>
    </row>
    <row r="59">
      <c r="A59" t="inlineStr">
        <is>
          <t>2026-08-06</t>
        </is>
      </c>
      <c r="B59" s="9" t="n">
        <v>893.1900000000001</v>
      </c>
      <c r="C59" s="9" t="n">
        <v>843.11</v>
      </c>
      <c r="D59" s="9" t="n">
        <v>881.47</v>
      </c>
      <c r="E59" s="10">
        <f>C59/B59-1</f>
        <v/>
      </c>
      <c r="F59" s="10">
        <f>E59-'① 參數設定'!$B$5/10000</f>
        <v/>
      </c>
      <c r="G59" s="11">
        <f>G58*(1+E59)</f>
        <v/>
      </c>
      <c r="H59" s="11">
        <f>H58*(1+F59)</f>
        <v/>
      </c>
      <c r="I59" s="11">
        <f>I58*(D59/B59)</f>
        <v/>
      </c>
    </row>
    <row r="60">
      <c r="A60" t="inlineStr">
        <is>
          <t>2026-08-07</t>
        </is>
      </c>
      <c r="B60" s="9" t="n">
        <v>881.47</v>
      </c>
      <c r="C60" s="9" t="n">
        <v>903.6</v>
      </c>
      <c r="D60" s="9" t="n">
        <v>877.5700000000001</v>
      </c>
      <c r="E60" s="10">
        <f>C60/B60-1</f>
        <v/>
      </c>
      <c r="F60" s="10">
        <f>E60-'① 參數設定'!$B$5/10000</f>
        <v/>
      </c>
      <c r="G60" s="11">
        <f>G59*(1+E60)</f>
        <v/>
      </c>
      <c r="H60" s="11">
        <f>H59*(1+F60)</f>
        <v/>
      </c>
      <c r="I60" s="11">
        <f>I59*(D60/B60)</f>
        <v/>
      </c>
    </row>
    <row r="61">
      <c r="A61" t="inlineStr">
        <is>
          <t>2026-08-10</t>
        </is>
      </c>
      <c r="B61" s="9" t="n">
        <v>877.5700000000001</v>
      </c>
      <c r="C61" s="9" t="n">
        <v>863.67</v>
      </c>
      <c r="D61" s="9" t="n">
        <v>861</v>
      </c>
      <c r="E61" s="10">
        <f>C61/B61-1</f>
        <v/>
      </c>
      <c r="F61" s="10">
        <f>E61-'① 參數設定'!$B$5/10000</f>
        <v/>
      </c>
      <c r="G61" s="11">
        <f>G60*(1+E61)</f>
        <v/>
      </c>
      <c r="H61" s="11">
        <f>H60*(1+F61)</f>
        <v/>
      </c>
      <c r="I61" s="11">
        <f>I60*(D61/B61)</f>
        <v/>
      </c>
    </row>
    <row r="62">
      <c r="A62" t="inlineStr">
        <is>
          <t>2026-08-11</t>
        </is>
      </c>
      <c r="B62" s="9" t="n">
        <v>861</v>
      </c>
      <c r="C62" s="9" t="n">
        <v>871.8</v>
      </c>
      <c r="D62" s="9" t="n">
        <v>868.52</v>
      </c>
      <c r="E62" s="10">
        <f>C62/B62-1</f>
        <v/>
      </c>
      <c r="F62" s="10">
        <f>E62-'① 參數設定'!$B$5/10000</f>
        <v/>
      </c>
      <c r="G62" s="11">
        <f>G61*(1+E62)</f>
        <v/>
      </c>
      <c r="H62" s="11">
        <f>H61*(1+F62)</f>
        <v/>
      </c>
      <c r="I62" s="11">
        <f>I61*(D62/B62)</f>
        <v/>
      </c>
    </row>
    <row r="63">
      <c r="A63" t="inlineStr">
        <is>
          <t>2026-08-12</t>
        </is>
      </c>
      <c r="B63" s="9" t="n">
        <v>868.52</v>
      </c>
      <c r="C63" s="9" t="n">
        <v>912.9400000000001</v>
      </c>
      <c r="D63" s="9" t="n">
        <v>911.29</v>
      </c>
      <c r="E63" s="10">
        <f>C63/B63-1</f>
        <v/>
      </c>
      <c r="F63" s="10">
        <f>E63-'① 參數設定'!$B$5/10000</f>
        <v/>
      </c>
      <c r="G63" s="11">
        <f>G62*(1+E63)</f>
        <v/>
      </c>
      <c r="H63" s="11">
        <f>H62*(1+F63)</f>
        <v/>
      </c>
      <c r="I63" s="11">
        <f>I62*(D63/B63)</f>
        <v/>
      </c>
    </row>
    <row r="64">
      <c r="A64" t="inlineStr">
        <is>
          <t>2026-08-13</t>
        </is>
      </c>
      <c r="B64" s="9" t="n">
        <v>911.29</v>
      </c>
      <c r="C64" s="9" t="n">
        <v>912.89</v>
      </c>
      <c r="D64" s="9" t="n">
        <v>949.83</v>
      </c>
      <c r="E64" s="10">
        <f>C64/B64-1</f>
        <v/>
      </c>
      <c r="F64" s="10">
        <f>E64-'① 參數設定'!$B$5/10000</f>
        <v/>
      </c>
      <c r="G64" s="11">
        <f>G63*(1+E64)</f>
        <v/>
      </c>
      <c r="H64" s="11">
        <f>H63*(1+F64)</f>
        <v/>
      </c>
      <c r="I64" s="11">
        <f>I63*(D64/B64)</f>
        <v/>
      </c>
    </row>
    <row r="65">
      <c r="A65" t="inlineStr">
        <is>
          <t>2026-08-14</t>
        </is>
      </c>
      <c r="B65" s="9" t="n">
        <v>949.83</v>
      </c>
      <c r="C65" s="9" t="n">
        <v>979.3200000000001</v>
      </c>
      <c r="D65" s="9" t="n">
        <v>971.66</v>
      </c>
      <c r="E65" s="10">
        <f>C65/B65-1</f>
        <v/>
      </c>
      <c r="F65" s="10">
        <f>E65-'① 參數設定'!$B$5/10000</f>
        <v/>
      </c>
      <c r="G65" s="11">
        <f>G64*(1+E65)</f>
        <v/>
      </c>
      <c r="H65" s="11">
        <f>H64*(1+F65)</f>
        <v/>
      </c>
      <c r="I65" s="11">
        <f>I64*(D65/B65)</f>
        <v/>
      </c>
    </row>
    <row r="66">
      <c r="A66" t="inlineStr">
        <is>
          <t>2026-08-17</t>
        </is>
      </c>
      <c r="B66" s="9" t="n">
        <v>971.66</v>
      </c>
      <c r="C66" s="9" t="n">
        <v>999.55</v>
      </c>
      <c r="D66" s="9" t="n">
        <v>1011.75</v>
      </c>
      <c r="E66" s="10">
        <f>C66/B66-1</f>
        <v/>
      </c>
      <c r="F66" s="10">
        <f>E66-'① 參數設定'!$B$5/10000</f>
        <v/>
      </c>
      <c r="G66" s="11">
        <f>G65*(1+E66)</f>
        <v/>
      </c>
      <c r="H66" s="11">
        <f>H65*(1+F66)</f>
        <v/>
      </c>
      <c r="I66" s="11">
        <f>I65*(D66/B66)</f>
        <v/>
      </c>
    </row>
    <row r="67">
      <c r="A67" t="inlineStr">
        <is>
          <t>2026-08-18</t>
        </is>
      </c>
      <c r="B67" s="9" t="n">
        <v>1011.75</v>
      </c>
      <c r="C67" s="9" t="n">
        <v>957.1</v>
      </c>
      <c r="D67" s="9" t="n">
        <v>940.76</v>
      </c>
      <c r="E67" s="10">
        <f>C67/B67-1</f>
        <v/>
      </c>
      <c r="F67" s="10">
        <f>E67-'① 參數設定'!$B$5/10000</f>
        <v/>
      </c>
      <c r="G67" s="11">
        <f>G66*(1+E67)</f>
        <v/>
      </c>
      <c r="H67" s="11">
        <f>H66*(1+F67)</f>
        <v/>
      </c>
      <c r="I67" s="11">
        <f>I66*(D67/B67)</f>
        <v/>
      </c>
    </row>
    <row r="68">
      <c r="A68" t="inlineStr">
        <is>
          <t>2026-08-19</t>
        </is>
      </c>
      <c r="B68" s="9" t="n">
        <v>940.76</v>
      </c>
      <c r="C68" s="9" t="n">
        <v>959.36</v>
      </c>
      <c r="D68" s="9" t="n">
        <v>937.11</v>
      </c>
      <c r="E68" s="10">
        <f>C68/B68-1</f>
        <v/>
      </c>
      <c r="F68" s="10">
        <f>E68-'① 參數設定'!$B$5/10000</f>
        <v/>
      </c>
      <c r="G68" s="11">
        <f>G67*(1+E68)</f>
        <v/>
      </c>
      <c r="H68" s="11">
        <f>H67*(1+F68)</f>
        <v/>
      </c>
      <c r="I68" s="11">
        <f>I67*(D68/B68)</f>
        <v/>
      </c>
    </row>
    <row r="69">
      <c r="A69" t="inlineStr">
        <is>
          <t>2026-08-20</t>
        </is>
      </c>
      <c r="B69" s="9" t="n">
        <v>937.11</v>
      </c>
      <c r="C69" s="9" t="n">
        <v>935.01</v>
      </c>
      <c r="D69" s="9" t="n">
        <v>974.33</v>
      </c>
      <c r="E69" s="10">
        <f>C69/B69-1</f>
        <v/>
      </c>
      <c r="F69" s="10">
        <f>E69-'① 參數設定'!$B$5/10000</f>
        <v/>
      </c>
      <c r="G69" s="11">
        <f>G68*(1+E69)</f>
        <v/>
      </c>
      <c r="H69" s="11">
        <f>H68*(1+F69)</f>
        <v/>
      </c>
      <c r="I69" s="11">
        <f>I68*(D69/B69)</f>
        <v/>
      </c>
    </row>
    <row r="70">
      <c r="A70" t="inlineStr">
        <is>
          <t>2026-08-21</t>
        </is>
      </c>
      <c r="B70" s="9" t="n">
        <v>974.33</v>
      </c>
      <c r="C70" s="9" t="n">
        <v>989.6799999999999</v>
      </c>
      <c r="D70" s="9" t="n">
        <v>966.78</v>
      </c>
      <c r="E70" s="10">
        <f>C70/B70-1</f>
        <v/>
      </c>
      <c r="F70" s="10">
        <f>E70-'① 參數設定'!$B$5/10000</f>
        <v/>
      </c>
      <c r="G70" s="11">
        <f>G69*(1+E70)</f>
        <v/>
      </c>
      <c r="H70" s="11">
        <f>H69*(1+F70)</f>
        <v/>
      </c>
      <c r="I70" s="11">
        <f>I69*(D70/B70)</f>
        <v/>
      </c>
    </row>
    <row r="72">
      <c r="A72" s="12" t="inlineStr">
        <is>
          <t>期末結果</t>
        </is>
      </c>
      <c r="G72" s="13">
        <f>G70-1</f>
        <v/>
      </c>
      <c r="H72" s="13">
        <f>H70-1</f>
        <v/>
      </c>
      <c r="I72" s="13">
        <f>I70-1</f>
        <v/>
      </c>
    </row>
    <row r="73">
      <c r="A73" s="14" t="inlineStr">
        <is>
          <t>交易趟數（每天一趟來回）</t>
        </is>
      </c>
      <c r="B73" t="n">
        <v>66</v>
      </c>
    </row>
    <row r="74">
      <c r="A74" s="15" t="inlineStr">
        <is>
          <t>手續費總共吃掉</t>
        </is>
      </c>
      <c r="B74" s="16">
        <f>G70/H70-1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2" customWidth="1" min="4" max="4"/>
    <col width="12" customWidth="1" min="5" max="5"/>
    <col width="12" customWidth="1" min="6" max="6"/>
    <col width="13" customWidth="1" min="7" max="7"/>
    <col width="14" customWidth="1" min="8" max="8"/>
  </cols>
  <sheetData>
    <row r="1">
      <c r="A1" s="7" t="inlineStr">
        <is>
          <t>五支股票 · 隔夜策略 vs 什麼都不做</t>
        </is>
      </c>
    </row>
    <row r="2">
      <c r="A2" s="8" t="inlineStr">
        <is>
          <t>期間 2026-05-16 ~ 2026-08-24（約 3 個月）</t>
        </is>
      </c>
    </row>
    <row r="4">
      <c r="A4" s="3" t="inlineStr">
        <is>
          <t>股票</t>
        </is>
      </c>
      <c r="B4" s="3" t="inlineStr">
        <is>
          <t>交易日數</t>
        </is>
      </c>
      <c r="C4" s="3" t="inlineStr">
        <is>
          <t>隔夜(無成本)</t>
        </is>
      </c>
      <c r="D4" s="3" t="inlineStr">
        <is>
          <t>扣10bps</t>
        </is>
      </c>
      <c r="E4" s="3" t="inlineStr">
        <is>
          <t>扣30bps</t>
        </is>
      </c>
      <c r="F4" s="3" t="inlineStr">
        <is>
          <t>扣50bps</t>
        </is>
      </c>
      <c r="G4" s="3" t="inlineStr">
        <is>
          <t>買著不動</t>
        </is>
      </c>
      <c r="H4" s="3" t="inlineStr">
        <is>
          <t>30bps下誰贏</t>
        </is>
      </c>
    </row>
    <row r="5">
      <c r="A5" s="17" t="inlineStr">
        <is>
          <t>MU</t>
        </is>
      </c>
      <c r="B5" s="4" t="n">
        <v>66</v>
      </c>
      <c r="C5" s="18" t="n">
        <v>0.6354800237757166</v>
      </c>
      <c r="D5" s="18" t="n">
        <v>0.5316072750691188</v>
      </c>
      <c r="E5" s="19" t="n">
        <v>0.3429703837313589</v>
      </c>
      <c r="F5" s="18" t="n">
        <v>0.1772570103157398</v>
      </c>
      <c r="G5" s="18" t="n">
        <v>0.4185228460040342</v>
      </c>
      <c r="H5" s="17">
        <f>IF(E5&gt;G5,"隔夜贏","抱著贏")</f>
        <v/>
      </c>
    </row>
    <row r="6">
      <c r="A6" s="17" t="inlineStr">
        <is>
          <t>NVDA</t>
        </is>
      </c>
      <c r="B6" s="4" t="n">
        <v>66</v>
      </c>
      <c r="C6" s="18" t="n">
        <v>0.1079440157848552</v>
      </c>
      <c r="D6" s="18" t="n">
        <v>0.03724703340220392</v>
      </c>
      <c r="E6" s="20" t="n">
        <v>-0.09108139965179718</v>
      </c>
      <c r="F6" s="21" t="n">
        <v>-0.2037439297243293</v>
      </c>
      <c r="G6" s="21" t="n">
        <v>-0.03418498494574229</v>
      </c>
      <c r="H6" s="17">
        <f>IF(E6&gt;G6,"隔夜贏","抱著贏")</f>
        <v/>
      </c>
    </row>
    <row r="7">
      <c r="A7" s="17" t="inlineStr">
        <is>
          <t>AAPL</t>
        </is>
      </c>
      <c r="B7" s="4" t="n">
        <v>66</v>
      </c>
      <c r="C7" s="21" t="n">
        <v>-0.07705721467952464</v>
      </c>
      <c r="D7" s="21" t="n">
        <v>-0.1361075520276397</v>
      </c>
      <c r="E7" s="20" t="n">
        <v>-0.2432664071353644</v>
      </c>
      <c r="F7" s="21" t="n">
        <v>-0.3373095947816119</v>
      </c>
      <c r="G7" s="18" t="n">
        <v>0.03864494328212076</v>
      </c>
      <c r="H7" s="17">
        <f>IF(E7&gt;G7,"隔夜贏","抱著贏")</f>
        <v/>
      </c>
    </row>
    <row r="8">
      <c r="A8" s="17" t="inlineStr">
        <is>
          <t>TSLA</t>
        </is>
      </c>
      <c r="B8" s="4" t="n">
        <v>66</v>
      </c>
      <c r="C8" s="21" t="n">
        <v>-0.1362385272265039</v>
      </c>
      <c r="D8" s="21" t="n">
        <v>-0.1915582714539443</v>
      </c>
      <c r="E8" s="20" t="n">
        <v>-0.291937066612293</v>
      </c>
      <c r="F8" s="21" t="n">
        <v>-0.3800180022704728</v>
      </c>
      <c r="G8" s="21" t="n">
        <v>-0.1149540379165606</v>
      </c>
      <c r="H8" s="17">
        <f>IF(E8&gt;G8,"隔夜贏","抱著贏")</f>
        <v/>
      </c>
    </row>
    <row r="9">
      <c r="A9" s="17" t="inlineStr">
        <is>
          <t>SPY</t>
        </is>
      </c>
      <c r="B9" s="4" t="n">
        <v>66</v>
      </c>
      <c r="C9" s="18" t="n">
        <v>0.06787924042137639</v>
      </c>
      <c r="D9" s="21" t="n">
        <v>-0.0002934811782210334</v>
      </c>
      <c r="E9" s="20" t="n">
        <v>-0.1240340372319925</v>
      </c>
      <c r="F9" s="21" t="n">
        <v>-0.2326618031020413</v>
      </c>
      <c r="G9" s="18" t="n">
        <v>0.03664786488098426</v>
      </c>
      <c r="H9" s="17">
        <f>IF(E9&gt;G9,"隔夜贏","抱著贏")</f>
        <v/>
      </c>
    </row>
    <row r="11">
      <c r="A11" s="22" t="inlineStr">
        <is>
          <t>結論：扣掉真實手續費後，五支全部輸給「什麼都不做」。</t>
        </is>
      </c>
    </row>
    <row r="12">
      <c r="A12" s="8" t="inlineStr">
        <is>
          <t>原因：這招每天要進出一次，3 個月就是 66 趟來回。每趟 30bps，光成本就吃掉約 20%。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7" t="inlineStr">
        <is>
          <t>手續費多高才會由賺轉賠？</t>
        </is>
      </c>
    </row>
    <row r="2">
      <c r="A2" s="8" t="inlineStr">
        <is>
          <t>橫軸＝來回成本（bps）。看每支股票在哪一格由綠轉紅。</t>
        </is>
      </c>
    </row>
    <row r="4">
      <c r="A4" s="23" t="inlineStr">
        <is>
          <t>股票</t>
        </is>
      </c>
      <c r="B4" s="3" t="inlineStr">
        <is>
          <t>0bps</t>
        </is>
      </c>
      <c r="C4" s="3" t="inlineStr">
        <is>
          <t>5bps</t>
        </is>
      </c>
      <c r="D4" s="3" t="inlineStr">
        <is>
          <t>10bps</t>
        </is>
      </c>
      <c r="E4" s="3" t="inlineStr">
        <is>
          <t>15bps</t>
        </is>
      </c>
      <c r="F4" s="3" t="inlineStr">
        <is>
          <t>20bps</t>
        </is>
      </c>
      <c r="G4" s="3" t="inlineStr">
        <is>
          <t>25bps</t>
        </is>
      </c>
      <c r="H4" s="3" t="inlineStr">
        <is>
          <t>30bps</t>
        </is>
      </c>
      <c r="I4" s="3" t="inlineStr">
        <is>
          <t>40bps</t>
        </is>
      </c>
      <c r="J4" s="3" t="inlineStr">
        <is>
          <t>50bps</t>
        </is>
      </c>
    </row>
    <row r="5">
      <c r="A5" s="24" t="inlineStr">
        <is>
          <t>MU</t>
        </is>
      </c>
      <c r="B5" s="25" t="n">
        <v>0.6354800237757166</v>
      </c>
      <c r="C5" s="25" t="n">
        <v>0.5827046636923996</v>
      </c>
      <c r="D5" s="25" t="n">
        <v>0.5316072750691188</v>
      </c>
      <c r="E5" s="25" t="n">
        <v>0.4821353042883854</v>
      </c>
      <c r="F5" s="25" t="n">
        <v>0.4342378187191691</v>
      </c>
      <c r="G5" s="25" t="n">
        <v>0.3878654574896161</v>
      </c>
      <c r="H5" s="25" t="n">
        <v>0.3429703837313589</v>
      </c>
      <c r="I5" s="25" t="n">
        <v>0.2574280945940595</v>
      </c>
      <c r="J5" s="25" t="n">
        <v>0.1772570103157398</v>
      </c>
    </row>
    <row r="6">
      <c r="A6" s="24" t="inlineStr">
        <is>
          <t>NVDA</t>
        </is>
      </c>
      <c r="B6" s="25" t="n">
        <v>0.1079440157848552</v>
      </c>
      <c r="C6" s="25" t="n">
        <v>0.07202172181109523</v>
      </c>
      <c r="D6" s="25" t="n">
        <v>0.03724703340220392</v>
      </c>
      <c r="E6" s="25" t="n">
        <v>0.003583834456646562</v>
      </c>
      <c r="F6" s="26" t="n">
        <v>-0.02900287173359606</v>
      </c>
      <c r="G6" s="26" t="n">
        <v>-0.06054699664392071</v>
      </c>
      <c r="H6" s="26" t="n">
        <v>-0.09108139965179718</v>
      </c>
      <c r="I6" s="26" t="n">
        <v>-0.1492474088470359</v>
      </c>
      <c r="J6" s="26" t="n">
        <v>-0.2037439297243293</v>
      </c>
    </row>
    <row r="7">
      <c r="A7" s="24" t="inlineStr">
        <is>
          <t>AAPL</t>
        </is>
      </c>
      <c r="B7" s="26" t="n">
        <v>-0.07705721467952464</v>
      </c>
      <c r="C7" s="26" t="n">
        <v>-0.1070629877157303</v>
      </c>
      <c r="D7" s="26" t="n">
        <v>-0.1361075520276397</v>
      </c>
      <c r="E7" s="26" t="n">
        <v>-0.1642212402918423</v>
      </c>
      <c r="F7" s="26" t="n">
        <v>-0.1914334424752218</v>
      </c>
      <c r="G7" s="26" t="n">
        <v>-0.2177726346825888</v>
      </c>
      <c r="H7" s="26" t="n">
        <v>-0.2432664071353644</v>
      </c>
      <c r="I7" s="26" t="n">
        <v>-0.2918237862405512</v>
      </c>
      <c r="J7" s="26" t="n">
        <v>-0.3373095947816119</v>
      </c>
    </row>
    <row r="8">
      <c r="A8" s="24" t="inlineStr">
        <is>
          <t>TSLA</t>
        </is>
      </c>
      <c r="B8" s="26" t="n">
        <v>-0.1362385272265039</v>
      </c>
      <c r="C8" s="26" t="n">
        <v>-0.1643491106350251</v>
      </c>
      <c r="D8" s="26" t="n">
        <v>-0.1915582714539443</v>
      </c>
      <c r="E8" s="26" t="n">
        <v>-0.2178944848887143</v>
      </c>
      <c r="F8" s="26" t="n">
        <v>-0.2433853402559878</v>
      </c>
      <c r="G8" s="26" t="n">
        <v>-0.268057568120265</v>
      </c>
      <c r="H8" s="26" t="n">
        <v>-0.291937066612293</v>
      </c>
      <c r="I8" s="26" t="n">
        <v>-0.3374174582099452</v>
      </c>
      <c r="J8" s="26" t="n">
        <v>-0.3800180022704728</v>
      </c>
    </row>
    <row r="9">
      <c r="A9" s="24" t="inlineStr">
        <is>
          <t>SPY</t>
        </is>
      </c>
      <c r="B9" s="25" t="n">
        <v>0.06787924042137639</v>
      </c>
      <c r="C9" s="25" t="n">
        <v>0.03323929292006844</v>
      </c>
      <c r="D9" s="26" t="n">
        <v>-0.0002934811782210334</v>
      </c>
      <c r="E9" s="26" t="n">
        <v>-0.03275394246112751</v>
      </c>
      <c r="F9" s="26" t="n">
        <v>-0.06417587050938167</v>
      </c>
      <c r="G9" s="26" t="n">
        <v>-0.09459199690241593</v>
      </c>
      <c r="H9" s="26" t="n">
        <v>-0.1240340372319925</v>
      </c>
      <c r="I9" s="26" t="n">
        <v>-0.1801178275012073</v>
      </c>
      <c r="J9" s="26" t="n">
        <v>-0.2326618031020413</v>
      </c>
    </row>
    <row r="11">
      <c r="A11" s="15" t="inlineStr">
        <is>
          <t>注意：綠色不代表值得做——還要贏過同期「什麼都不做」（見分頁③）。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2026-08-24T03:08:37Z</dcterms:created>
  <dcterms:modified xmlns:dcterms="http://purl.org/dc/terms/" xmlns:xsi="http://www.w3.org/2001/XMLSchema-instance" xsi:type="dcterms:W3CDTF">2026-08-24T03:08:38Z</dcterms:modified>
</cp:coreProperties>
</file>